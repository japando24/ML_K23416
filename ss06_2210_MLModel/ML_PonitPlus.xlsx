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Coding\ML_K23416\ss06_2210_MLModel\"/>
    </mc:Choice>
  </mc:AlternateContent>
  <xr:revisionPtr revIDLastSave="0" documentId="13_ncr:1_{34951C93-029F-47A8-8794-2C87947B0C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ffice" sheetId="3" r:id="rId1"/>
    <sheet name="Bài là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3" i="3" l="1"/>
  <c r="V3" i="3"/>
  <c r="W3" i="3"/>
  <c r="V4" i="3"/>
  <c r="W4" i="3" s="1"/>
  <c r="V5" i="3"/>
  <c r="W5" i="3"/>
  <c r="V6" i="3"/>
  <c r="W6" i="3"/>
  <c r="V7" i="3"/>
  <c r="W7" i="3"/>
  <c r="V8" i="3"/>
  <c r="W8" i="3"/>
  <c r="V9" i="3"/>
  <c r="W9" i="3"/>
  <c r="V10" i="3"/>
  <c r="W10" i="3"/>
  <c r="V11" i="3"/>
  <c r="W11" i="3"/>
  <c r="V12" i="3"/>
  <c r="W12" i="3"/>
  <c r="V13" i="3"/>
  <c r="W13" i="3"/>
  <c r="V14" i="3"/>
  <c r="W14" i="3"/>
  <c r="V15" i="3"/>
  <c r="W15" i="3"/>
  <c r="V16" i="3"/>
  <c r="W16" i="3"/>
  <c r="V17" i="3"/>
  <c r="W17" i="3"/>
  <c r="V18" i="3"/>
  <c r="W18" i="3"/>
  <c r="V19" i="3"/>
  <c r="W19" i="3"/>
  <c r="V20" i="3"/>
  <c r="W20" i="3"/>
  <c r="V21" i="3"/>
  <c r="W21" i="3"/>
  <c r="W2" i="3"/>
  <c r="R14" i="3" a="1"/>
  <c r="R14" i="3" s="1"/>
  <c r="O8" i="3" a="1"/>
  <c r="O8" i="3" s="1"/>
  <c r="O14" i="3" a="1"/>
  <c r="O14" i="3" s="1"/>
  <c r="O1" i="3" a="1"/>
  <c r="O1" i="3" s="1"/>
  <c r="T23" i="2"/>
  <c r="M14" i="2" a="1"/>
  <c r="M14" i="2" s="1"/>
  <c r="P14" i="2" s="1" a="1"/>
  <c r="P14" i="2" s="1"/>
  <c r="M8" i="2" a="1"/>
  <c r="M8" i="2" s="1"/>
  <c r="M1" i="2" a="1"/>
  <c r="M1" i="2" s="1"/>
  <c r="S10" i="2" l="1"/>
  <c r="T10" i="2" s="1"/>
  <c r="S18" i="2"/>
  <c r="T18" i="2" s="1"/>
  <c r="S16" i="2"/>
  <c r="T16" i="2" s="1"/>
  <c r="S17" i="2"/>
  <c r="T17" i="2" s="1"/>
  <c r="S3" i="2"/>
  <c r="T3" i="2" s="1"/>
  <c r="S11" i="2"/>
  <c r="T11" i="2" s="1"/>
  <c r="S19" i="2"/>
  <c r="T19" i="2" s="1"/>
  <c r="S4" i="2"/>
  <c r="T4" i="2" s="1"/>
  <c r="S12" i="2"/>
  <c r="T12" i="2" s="1"/>
  <c r="S20" i="2"/>
  <c r="T20" i="2" s="1"/>
  <c r="S14" i="2"/>
  <c r="T14" i="2" s="1"/>
  <c r="S2" i="2"/>
  <c r="T2" i="2" s="1"/>
  <c r="S5" i="2"/>
  <c r="T5" i="2" s="1"/>
  <c r="S13" i="2"/>
  <c r="T13" i="2" s="1"/>
  <c r="S21" i="2"/>
  <c r="T21" i="2" s="1"/>
  <c r="S6" i="2"/>
  <c r="T6" i="2" s="1"/>
  <c r="S15" i="2"/>
  <c r="T15" i="2" s="1"/>
  <c r="S8" i="2"/>
  <c r="T8" i="2" s="1"/>
  <c r="S9" i="2"/>
  <c r="T9" i="2" s="1"/>
  <c r="S7" i="2"/>
  <c r="T7" i="2" s="1"/>
  <c r="V2" i="3" l="1"/>
  <c r="W24" i="3" s="1"/>
  <c r="T2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<sst xmlns="http://schemas.openxmlformats.org/spreadsheetml/2006/main" count="36" uniqueCount="14">
  <si>
    <t>x0</t>
  </si>
  <si>
    <t>(X'X)=</t>
  </si>
  <si>
    <t>Predicted Price</t>
  </si>
  <si>
    <t>Squared Error</t>
  </si>
  <si>
    <t>(X'X)_inv=</t>
  </si>
  <si>
    <t>(X'Y)=</t>
  </si>
  <si>
    <t>B_hat=</t>
  </si>
  <si>
    <t>MSE=</t>
  </si>
  <si>
    <t>RMSE=</t>
  </si>
  <si>
    <t>x1</t>
  </si>
  <si>
    <t>x2</t>
  </si>
  <si>
    <t>x3</t>
  </si>
  <si>
    <t>y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</si>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</sst>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rgb="FF656565"/>
      <name val="Roboto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Office!$E$1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Office!$E$2:$E$21</c:f>
              <c:numCache>
                <c:formatCode>General</c:formatCode>
                <c:ptCount val="20"/>
                <c:pt idx="0">
                  <c:v>0.04</c:v>
                </c:pt>
                <c:pt idx="1">
                  <c:v>2.0699999999999998</c:v>
                </c:pt>
                <c:pt idx="2">
                  <c:v>4.18</c:v>
                </c:pt>
                <c:pt idx="3">
                  <c:v>4.63</c:v>
                </c:pt>
                <c:pt idx="4">
                  <c:v>6.57</c:v>
                </c:pt>
                <c:pt idx="5">
                  <c:v>6.91</c:v>
                </c:pt>
                <c:pt idx="6">
                  <c:v>9.23</c:v>
                </c:pt>
                <c:pt idx="7">
                  <c:v>11.4</c:v>
                </c:pt>
                <c:pt idx="8">
                  <c:v>12.04</c:v>
                </c:pt>
                <c:pt idx="9">
                  <c:v>16.75</c:v>
                </c:pt>
                <c:pt idx="10">
                  <c:v>24.55</c:v>
                </c:pt>
                <c:pt idx="11">
                  <c:v>27.64</c:v>
                </c:pt>
                <c:pt idx="12">
                  <c:v>29.64</c:v>
                </c:pt>
                <c:pt idx="13">
                  <c:v>32.9</c:v>
                </c:pt>
                <c:pt idx="14">
                  <c:v>33.520000000000003</c:v>
                </c:pt>
                <c:pt idx="15">
                  <c:v>33.75</c:v>
                </c:pt>
                <c:pt idx="16">
                  <c:v>42.89</c:v>
                </c:pt>
                <c:pt idx="17">
                  <c:v>48.87</c:v>
                </c:pt>
                <c:pt idx="18">
                  <c:v>58.45</c:v>
                </c:pt>
                <c:pt idx="19">
                  <c:v>61.69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9-4CF8-B0BF-F60DE4AFA870}"/>
            </c:ext>
          </c:extLst>
        </c:ser>
        <c:ser>
          <c:idx val="1"/>
          <c:order val="1"/>
          <c:tx>
            <c:strRef>
              <c:f>Office!$V$1</c:f>
              <c:strCache>
                <c:ptCount val="1"/>
                <c:pt idx="0">
                  <c:v>Predicted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Office!$V$2:$V$21</c:f>
              <c:numCache>
                <c:formatCode>General</c:formatCode>
                <c:ptCount val="20"/>
                <c:pt idx="0">
                  <c:v>-2.9873653592703917</c:v>
                </c:pt>
                <c:pt idx="1">
                  <c:v>2.2190383499989954</c:v>
                </c:pt>
                <c:pt idx="2">
                  <c:v>5.0509863555099717</c:v>
                </c:pt>
                <c:pt idx="3">
                  <c:v>3.0460183749668479</c:v>
                </c:pt>
                <c:pt idx="4">
                  <c:v>5.9714004461542274</c:v>
                </c:pt>
                <c:pt idx="5">
                  <c:v>5.4794413715597639</c:v>
                </c:pt>
                <c:pt idx="6">
                  <c:v>9.0425435495602287</c:v>
                </c:pt>
                <c:pt idx="7">
                  <c:v>12.213763941518863</c:v>
                </c:pt>
                <c:pt idx="8">
                  <c:v>12.58154827798251</c:v>
                </c:pt>
                <c:pt idx="9">
                  <c:v>17.098462726583833</c:v>
                </c:pt>
                <c:pt idx="10">
                  <c:v>28.452671507716108</c:v>
                </c:pt>
                <c:pt idx="11">
                  <c:v>30.437149817828164</c:v>
                </c:pt>
                <c:pt idx="12">
                  <c:v>28.872762605887885</c:v>
                </c:pt>
                <c:pt idx="13">
                  <c:v>34.687532957624349</c:v>
                </c:pt>
                <c:pt idx="14">
                  <c:v>34.501474834117069</c:v>
                </c:pt>
                <c:pt idx="15">
                  <c:v>34.562469335144868</c:v>
                </c:pt>
                <c:pt idx="16">
                  <c:v>43.405667549512252</c:v>
                </c:pt>
                <c:pt idx="17">
                  <c:v>48.725261946269441</c:v>
                </c:pt>
                <c:pt idx="18">
                  <c:v>56.387018260658849</c:v>
                </c:pt>
                <c:pt idx="19">
                  <c:v>57.972153150676007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9-4CF8-B0BF-F60DE4AFA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2894239"/>
        <c:axId val="1772903359"/>
      </c:lineChart>
      <c:catAx>
        <c:axId val="177289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72903359"/>
        <c:crosses val="autoZero"/>
        <c:auto val="1"/>
        <c:lblAlgn val="ctr"/>
        <c:lblOffset val="100"/>
        <c:noMultiLvlLbl val="0"/>
      </c:catAx>
      <c:valAx>
        <c:axId val="177290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7289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642938</xdr:colOff>
      <xdr:row>21</xdr:row>
      <xdr:rowOff>104775</xdr:rowOff>
    </xdr:from>
    <xdr:to>
      <xdr:col>19</xdr:col>
      <xdr:colOff>166688</xdr:colOff>
      <xdr:row>37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B8186-11B5-F409-5CD5-E26737F98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5C7E-EC0C-4FF1-8044-766FFB2AF152}">
  <dimension ref="A1:W24"/>
  <sheetViews>
    <sheetView tabSelected="1" zoomScale="80" zoomScaleNormal="80" workbookViewId="0">
      <selection activeCell="L15" sqref="L14:L15"/>
    </sheetView>
  </sheetViews>
  <sheetFormatPr defaultRowHeight="13.8" x14ac:dyDescent="0.25"/>
  <cols>
    <col min="11" max="11" width="8.796875" customWidth="1"/>
    <col min="19" max="19" width="13.796875" customWidth="1"/>
    <col min="22" max="22" width="16.296875" customWidth="1"/>
    <col min="23" max="23" width="22.3984375" customWidth="1"/>
  </cols>
  <sheetData>
    <row r="1" spans="1:23" x14ac:dyDescent="0.25">
      <c r="A1" s="3" t="s">
        <v>9</v>
      </c>
      <c r="B1" s="3" t="s">
        <v>10</v>
      </c>
      <c r="C1" s="3" t="s">
        <v>11</v>
      </c>
      <c r="D1" s="3" t="s">
        <v>13</v>
      </c>
      <c r="E1" s="3" t="s">
        <v>12</v>
      </c>
      <c r="G1" t="s">
        <v>0</v>
      </c>
      <c r="H1" s="3" t="s">
        <v>9</v>
      </c>
      <c r="I1" s="3" t="s">
        <v>10</v>
      </c>
      <c r="J1" s="3" t="s">
        <v>11</v>
      </c>
      <c r="K1" s="3" t="s">
        <v>13</v>
      </c>
      <c r="L1" s="3" t="s">
        <v>12</v>
      </c>
      <c r="N1" t="s">
        <v>1</v>
      </c>
      <c r="O1" s="1" cm="1">
        <f t="array" ref="O1:T6">MMULT(TRANSPOSE(G2:L21),G2:L21)</f>
        <v>20</v>
      </c>
      <c r="P1" s="1">
        <v>50.839999999999996</v>
      </c>
      <c r="Q1" s="1">
        <v>435.64000000000004</v>
      </c>
      <c r="R1" s="1">
        <v>11.029999999999998</v>
      </c>
      <c r="S1" s="1">
        <v>282</v>
      </c>
      <c r="T1">
        <v>467.71999999999997</v>
      </c>
      <c r="V1" s="2" t="s">
        <v>2</v>
      </c>
      <c r="W1" s="1" t="s">
        <v>3</v>
      </c>
    </row>
    <row r="2" spans="1:23" x14ac:dyDescent="0.25">
      <c r="A2" s="3">
        <v>2.93</v>
      </c>
      <c r="B2" s="3">
        <v>11.21</v>
      </c>
      <c r="C2" s="3">
        <v>0.53</v>
      </c>
      <c r="D2" s="3">
        <v>1</v>
      </c>
      <c r="E2" s="3">
        <v>0.04</v>
      </c>
      <c r="G2">
        <v>1</v>
      </c>
      <c r="H2" s="3">
        <v>2.93</v>
      </c>
      <c r="I2" s="3">
        <v>11.21</v>
      </c>
      <c r="J2" s="3">
        <v>0.53</v>
      </c>
      <c r="K2" s="3">
        <v>1</v>
      </c>
      <c r="L2" s="3">
        <v>0.04</v>
      </c>
      <c r="O2" s="1">
        <v>50.839999999999996</v>
      </c>
      <c r="P2" s="1">
        <v>228.66939999999994</v>
      </c>
      <c r="Q2" s="1">
        <v>991.42409999999995</v>
      </c>
      <c r="R2" s="1">
        <v>26.494300000000003</v>
      </c>
      <c r="S2" s="1">
        <v>653.90499999999997</v>
      </c>
      <c r="T2">
        <v>1023.8301</v>
      </c>
      <c r="V2">
        <f>$R$14+$R$15*H2+$R$16*I2+$R$17*J2+$R$18*K2</f>
        <v>-2.9873653592703917</v>
      </c>
      <c r="W2">
        <f>POWER(L2-V2,2)</f>
        <v>9.1649410185103477</v>
      </c>
    </row>
    <row r="3" spans="1:23" x14ac:dyDescent="0.25">
      <c r="A3" s="3">
        <v>0.13</v>
      </c>
      <c r="B3" s="3">
        <v>63.46</v>
      </c>
      <c r="C3" s="3">
        <v>0.18</v>
      </c>
      <c r="D3" s="3">
        <v>2</v>
      </c>
      <c r="E3" s="3">
        <v>2.0699999999999998</v>
      </c>
      <c r="G3">
        <v>1</v>
      </c>
      <c r="H3" s="3">
        <v>0.13</v>
      </c>
      <c r="I3" s="3">
        <v>63.46</v>
      </c>
      <c r="J3" s="3">
        <v>0.18</v>
      </c>
      <c r="K3" s="3">
        <v>2</v>
      </c>
      <c r="L3" s="3">
        <v>2.0699999999999998</v>
      </c>
      <c r="O3" s="1">
        <v>435.64000000000004</v>
      </c>
      <c r="P3" s="1">
        <v>991.42409999999995</v>
      </c>
      <c r="Q3" s="1">
        <v>15643.789200000005</v>
      </c>
      <c r="R3" s="1">
        <v>222.99349999999998</v>
      </c>
      <c r="S3" s="1">
        <v>5454.42</v>
      </c>
      <c r="T3">
        <v>9043.8549000000003</v>
      </c>
      <c r="V3">
        <f t="shared" ref="V3:V21" si="0">$R$14+$R$15*H3+$R$16*I3+$R$17*J3+$R$18*K3</f>
        <v>2.2190383499989954</v>
      </c>
      <c r="W3">
        <f t="shared" ref="W3:W21" si="1">POWER(L3-V3,2)</f>
        <v>2.2212429770423103E-2</v>
      </c>
    </row>
    <row r="4" spans="1:23" x14ac:dyDescent="0.25">
      <c r="A4" s="3">
        <v>1</v>
      </c>
      <c r="B4" s="3">
        <v>48.25</v>
      </c>
      <c r="C4" s="3">
        <v>0.35</v>
      </c>
      <c r="D4" s="3">
        <v>4</v>
      </c>
      <c r="E4" s="3">
        <v>4.18</v>
      </c>
      <c r="G4">
        <v>1</v>
      </c>
      <c r="H4" s="3">
        <v>1</v>
      </c>
      <c r="I4" s="3">
        <v>48.25</v>
      </c>
      <c r="J4" s="3">
        <v>0.35</v>
      </c>
      <c r="K4" s="3">
        <v>4</v>
      </c>
      <c r="L4" s="3">
        <v>4.18</v>
      </c>
      <c r="O4" s="1">
        <v>11.029999999999998</v>
      </c>
      <c r="P4" s="1">
        <v>26.494300000000003</v>
      </c>
      <c r="Q4" s="1">
        <v>222.99349999999998</v>
      </c>
      <c r="R4" s="1">
        <v>7.5642999999999985</v>
      </c>
      <c r="S4" s="1">
        <v>172.33999999999997</v>
      </c>
      <c r="T4">
        <v>287.65010000000001</v>
      </c>
      <c r="V4">
        <f t="shared" si="0"/>
        <v>5.0509863555099717</v>
      </c>
      <c r="W4">
        <f t="shared" si="1"/>
        <v>0.75861723148454319</v>
      </c>
    </row>
    <row r="5" spans="1:23" x14ac:dyDescent="0.25">
      <c r="A5" s="3">
        <v>3.93</v>
      </c>
      <c r="B5" s="3">
        <v>21.56</v>
      </c>
      <c r="C5" s="3">
        <v>0.43</v>
      </c>
      <c r="D5" s="3">
        <v>4</v>
      </c>
      <c r="E5" s="3">
        <v>4.63</v>
      </c>
      <c r="G5">
        <v>1</v>
      </c>
      <c r="H5" s="3">
        <v>3.93</v>
      </c>
      <c r="I5" s="3">
        <v>21.56</v>
      </c>
      <c r="J5" s="3">
        <v>0.43</v>
      </c>
      <c r="K5" s="3">
        <v>4</v>
      </c>
      <c r="L5" s="3">
        <v>4.63</v>
      </c>
      <c r="O5" s="1">
        <v>282</v>
      </c>
      <c r="P5" s="1">
        <v>653.90499999999997</v>
      </c>
      <c r="Q5" s="1">
        <v>5454.42</v>
      </c>
      <c r="R5" s="1">
        <v>172.33999999999997</v>
      </c>
      <c r="S5" s="1">
        <v>5725.5</v>
      </c>
      <c r="T5">
        <v>10039.504999999999</v>
      </c>
      <c r="V5">
        <f t="shared" si="0"/>
        <v>3.0460183749668479</v>
      </c>
      <c r="W5">
        <f t="shared" si="1"/>
        <v>2.5089977884426649</v>
      </c>
    </row>
    <row r="6" spans="1:23" x14ac:dyDescent="0.25">
      <c r="A6" s="3">
        <v>0.45</v>
      </c>
      <c r="B6" s="3">
        <v>3</v>
      </c>
      <c r="C6" s="3">
        <v>0.48</v>
      </c>
      <c r="D6" s="3">
        <v>5</v>
      </c>
      <c r="E6" s="3">
        <v>6.57</v>
      </c>
      <c r="G6">
        <v>1</v>
      </c>
      <c r="H6" s="3">
        <v>0.45</v>
      </c>
      <c r="I6" s="3">
        <v>3</v>
      </c>
      <c r="J6" s="3">
        <v>0.48</v>
      </c>
      <c r="K6" s="3">
        <v>5</v>
      </c>
      <c r="L6" s="3">
        <v>6.57</v>
      </c>
      <c r="O6">
        <v>467.71999999999997</v>
      </c>
      <c r="P6">
        <v>1023.8301</v>
      </c>
      <c r="Q6">
        <v>9043.8549000000003</v>
      </c>
      <c r="R6">
        <v>287.65010000000001</v>
      </c>
      <c r="S6">
        <v>10039.504999999999</v>
      </c>
      <c r="T6">
        <v>17814.938000000002</v>
      </c>
      <c r="V6">
        <f t="shared" si="0"/>
        <v>5.9714004461542274</v>
      </c>
      <c r="W6">
        <f t="shared" si="1"/>
        <v>0.35832142586435839</v>
      </c>
    </row>
    <row r="7" spans="1:23" x14ac:dyDescent="0.25">
      <c r="A7" s="3">
        <v>3.58</v>
      </c>
      <c r="B7" s="3">
        <v>11.13</v>
      </c>
      <c r="C7" s="3">
        <v>0.24</v>
      </c>
      <c r="D7" s="3">
        <v>5</v>
      </c>
      <c r="E7" s="3">
        <v>6.91</v>
      </c>
      <c r="G7">
        <v>1</v>
      </c>
      <c r="H7" s="3">
        <v>3.58</v>
      </c>
      <c r="I7" s="3">
        <v>11.13</v>
      </c>
      <c r="J7" s="3">
        <v>0.24</v>
      </c>
      <c r="K7" s="3">
        <v>5</v>
      </c>
      <c r="L7" s="3">
        <v>6.91</v>
      </c>
      <c r="V7">
        <f t="shared" si="0"/>
        <v>5.4794413715597639</v>
      </c>
      <c r="W7">
        <f t="shared" si="1"/>
        <v>2.0464979894048101</v>
      </c>
    </row>
    <row r="8" spans="1:23" x14ac:dyDescent="0.25">
      <c r="A8" s="3">
        <v>1.95</v>
      </c>
      <c r="B8" s="3">
        <v>44.38</v>
      </c>
      <c r="C8" s="3">
        <v>0.9</v>
      </c>
      <c r="D8" s="3">
        <v>7</v>
      </c>
      <c r="E8" s="3">
        <v>9.23</v>
      </c>
      <c r="G8">
        <v>1</v>
      </c>
      <c r="H8" s="3">
        <v>1.95</v>
      </c>
      <c r="I8" s="3">
        <v>44.38</v>
      </c>
      <c r="J8" s="3">
        <v>0.9</v>
      </c>
      <c r="K8" s="3">
        <v>7</v>
      </c>
      <c r="L8" s="3">
        <v>9.23</v>
      </c>
      <c r="N8" t="s">
        <v>4</v>
      </c>
      <c r="O8" cm="1">
        <f t="array" ref="O8:S12">MINVERSE(O1:S5)</f>
        <v>0.64114457070884145</v>
      </c>
      <c r="P8">
        <v>-4.4549650114809818E-2</v>
      </c>
      <c r="Q8">
        <v>-6.4316451660924381E-3</v>
      </c>
      <c r="R8">
        <v>-0.39880209109482428</v>
      </c>
      <c r="S8">
        <v>-8.3592845298137586E-3</v>
      </c>
      <c r="V8">
        <f t="shared" si="0"/>
        <v>9.0425435495602287</v>
      </c>
      <c r="W8">
        <f t="shared" si="1"/>
        <v>3.5139920811478612E-2</v>
      </c>
    </row>
    <row r="9" spans="1:23" x14ac:dyDescent="0.25">
      <c r="A9" s="3">
        <v>3.81</v>
      </c>
      <c r="B9" s="3">
        <v>5.5</v>
      </c>
      <c r="C9" s="3">
        <v>0.61</v>
      </c>
      <c r="D9" s="3">
        <v>9</v>
      </c>
      <c r="E9" s="3">
        <v>11.4</v>
      </c>
      <c r="G9">
        <v>1</v>
      </c>
      <c r="H9" s="3">
        <v>3.81</v>
      </c>
      <c r="I9" s="3">
        <v>5.5</v>
      </c>
      <c r="J9" s="3">
        <v>0.61</v>
      </c>
      <c r="K9" s="3">
        <v>9</v>
      </c>
      <c r="L9" s="3">
        <v>11.4</v>
      </c>
      <c r="O9">
        <v>-4.4549650114809811E-2</v>
      </c>
      <c r="P9">
        <v>1.078653632977843E-2</v>
      </c>
      <c r="Q9">
        <v>2.7590140774220193E-4</v>
      </c>
      <c r="R9">
        <v>9.9007508855368902E-3</v>
      </c>
      <c r="S9">
        <v>4.0144157359566093E-4</v>
      </c>
      <c r="V9">
        <f t="shared" si="0"/>
        <v>12.213763941518863</v>
      </c>
      <c r="W9">
        <f t="shared" si="1"/>
        <v>0.66221175251631492</v>
      </c>
    </row>
    <row r="10" spans="1:23" x14ac:dyDescent="0.25">
      <c r="A10" s="3">
        <v>5.71</v>
      </c>
      <c r="B10" s="3">
        <v>42.28</v>
      </c>
      <c r="C10" s="3">
        <v>0.83</v>
      </c>
      <c r="D10" s="3">
        <v>9.5</v>
      </c>
      <c r="E10" s="3">
        <v>12.04</v>
      </c>
      <c r="G10">
        <v>1</v>
      </c>
      <c r="H10" s="3">
        <v>5.71</v>
      </c>
      <c r="I10" s="3">
        <v>42.28</v>
      </c>
      <c r="J10" s="3">
        <v>0.83</v>
      </c>
      <c r="K10" s="3">
        <v>9.5</v>
      </c>
      <c r="L10" s="3">
        <v>12.04</v>
      </c>
      <c r="O10">
        <v>-6.4316451660924364E-3</v>
      </c>
      <c r="P10">
        <v>2.7590140774220187E-4</v>
      </c>
      <c r="Q10">
        <v>1.7952725712763344E-4</v>
      </c>
      <c r="R10">
        <v>1.6447899039775103E-3</v>
      </c>
      <c r="S10">
        <v>6.4733293674755404E-5</v>
      </c>
      <c r="V10">
        <f t="shared" si="0"/>
        <v>12.58154827798251</v>
      </c>
      <c r="W10">
        <f t="shared" si="1"/>
        <v>0.29327453738582243</v>
      </c>
    </row>
    <row r="11" spans="1:23" x14ac:dyDescent="0.25">
      <c r="A11" s="3">
        <v>5.64</v>
      </c>
      <c r="B11" s="3">
        <v>18.11</v>
      </c>
      <c r="C11" s="3">
        <v>0.09</v>
      </c>
      <c r="D11" s="3">
        <v>11</v>
      </c>
      <c r="E11" s="3">
        <v>16.75</v>
      </c>
      <c r="G11">
        <v>1</v>
      </c>
      <c r="H11" s="3">
        <v>5.64</v>
      </c>
      <c r="I11" s="3">
        <v>18.11</v>
      </c>
      <c r="J11" s="3">
        <v>0.09</v>
      </c>
      <c r="K11" s="3">
        <v>11</v>
      </c>
      <c r="L11" s="3">
        <v>16.75</v>
      </c>
      <c r="O11">
        <v>-0.39880209109482384</v>
      </c>
      <c r="P11">
        <v>9.9007508855368468E-3</v>
      </c>
      <c r="Q11">
        <v>1.6447899039775074E-3</v>
      </c>
      <c r="R11">
        <v>0.7781298648332905</v>
      </c>
      <c r="S11">
        <v>-6.4773795602984727E-3</v>
      </c>
      <c r="V11">
        <f t="shared" si="0"/>
        <v>17.098462726583833</v>
      </c>
      <c r="W11">
        <f t="shared" si="1"/>
        <v>0.12142627181823895</v>
      </c>
    </row>
    <row r="12" spans="1:23" x14ac:dyDescent="0.25">
      <c r="A12" s="3">
        <v>0.2</v>
      </c>
      <c r="B12" s="3">
        <v>7.62</v>
      </c>
      <c r="C12" s="3">
        <v>0.33</v>
      </c>
      <c r="D12" s="3">
        <v>16</v>
      </c>
      <c r="E12" s="3">
        <v>24.55</v>
      </c>
      <c r="G12">
        <v>1</v>
      </c>
      <c r="H12" s="3">
        <v>0.2</v>
      </c>
      <c r="I12" s="3">
        <v>7.62</v>
      </c>
      <c r="J12" s="3">
        <v>0.33</v>
      </c>
      <c r="K12" s="3">
        <v>16</v>
      </c>
      <c r="L12" s="3">
        <v>24.55</v>
      </c>
      <c r="O12">
        <v>-8.359284529813776E-3</v>
      </c>
      <c r="P12">
        <v>4.0144157359566239E-4</v>
      </c>
      <c r="Q12">
        <v>6.4733293674755621E-5</v>
      </c>
      <c r="R12">
        <v>-6.4773795602984597E-3</v>
      </c>
      <c r="S12">
        <v>6.7383505492302654E-4</v>
      </c>
      <c r="V12">
        <f t="shared" si="0"/>
        <v>28.452671507716108</v>
      </c>
      <c r="W12">
        <f t="shared" si="1"/>
        <v>15.230844897139113</v>
      </c>
    </row>
    <row r="13" spans="1:23" x14ac:dyDescent="0.25">
      <c r="A13" s="3">
        <v>5.41</v>
      </c>
      <c r="B13" s="3">
        <v>11.73</v>
      </c>
      <c r="C13" s="3">
        <v>0.28999999999999998</v>
      </c>
      <c r="D13" s="3">
        <v>18</v>
      </c>
      <c r="E13" s="3">
        <v>27.64</v>
      </c>
      <c r="G13">
        <v>1</v>
      </c>
      <c r="H13" s="3">
        <v>5.41</v>
      </c>
      <c r="I13" s="3">
        <v>11.73</v>
      </c>
      <c r="J13" s="3">
        <v>0.28999999999999998</v>
      </c>
      <c r="K13" s="3">
        <v>18</v>
      </c>
      <c r="L13" s="3">
        <v>27.64</v>
      </c>
      <c r="V13">
        <f t="shared" si="0"/>
        <v>30.437149817828164</v>
      </c>
      <c r="W13">
        <f t="shared" si="1"/>
        <v>7.8240471033761283</v>
      </c>
    </row>
    <row r="14" spans="1:23" x14ac:dyDescent="0.25">
      <c r="A14" s="3">
        <v>7.56</v>
      </c>
      <c r="B14" s="3">
        <v>13.85</v>
      </c>
      <c r="C14" s="3">
        <v>0.55000000000000004</v>
      </c>
      <c r="D14" s="3">
        <v>18</v>
      </c>
      <c r="E14" s="3">
        <v>29.64</v>
      </c>
      <c r="G14">
        <v>1</v>
      </c>
      <c r="H14" s="3">
        <v>7.56</v>
      </c>
      <c r="I14" s="3">
        <v>13.85</v>
      </c>
      <c r="J14" s="3">
        <v>0.55000000000000004</v>
      </c>
      <c r="K14" s="3">
        <v>18</v>
      </c>
      <c r="L14" s="3">
        <v>29.64</v>
      </c>
      <c r="N14" t="s">
        <v>5</v>
      </c>
      <c r="O14" cm="1">
        <f t="array" ref="O14:O19">MMULT(TRANSPOSE(G2:L21),L2:L21)</f>
        <v>467.71999999999997</v>
      </c>
      <c r="Q14" t="s">
        <v>6</v>
      </c>
      <c r="R14" cm="1">
        <f t="array" ref="R14:R18">MMULT(O8:S12,O14:O18)</f>
        <v>-2.5405399876210311</v>
      </c>
      <c r="V14">
        <f t="shared" si="0"/>
        <v>28.872762605887885</v>
      </c>
      <c r="W14">
        <f t="shared" si="1"/>
        <v>0.58865321892394906</v>
      </c>
    </row>
    <row r="15" spans="1:23" x14ac:dyDescent="0.25">
      <c r="A15" s="3">
        <v>1.0900000000000001</v>
      </c>
      <c r="B15" s="3">
        <v>22.54</v>
      </c>
      <c r="C15" s="3">
        <v>0.94</v>
      </c>
      <c r="D15" s="3">
        <v>20</v>
      </c>
      <c r="E15" s="3">
        <v>32.9</v>
      </c>
      <c r="G15">
        <v>1</v>
      </c>
      <c r="H15" s="3">
        <v>1.0900000000000001</v>
      </c>
      <c r="I15" s="3">
        <v>22.54</v>
      </c>
      <c r="J15" s="3">
        <v>0.94</v>
      </c>
      <c r="K15" s="3">
        <v>20</v>
      </c>
      <c r="L15" s="3">
        <v>32.9</v>
      </c>
      <c r="O15">
        <v>1023.8301</v>
      </c>
      <c r="R15">
        <v>-0.41974281658067092</v>
      </c>
      <c r="V15">
        <f t="shared" si="0"/>
        <v>34.687532957624349</v>
      </c>
      <c r="W15">
        <f t="shared" si="1"/>
        <v>3.1952740745932569</v>
      </c>
    </row>
    <row r="16" spans="1:23" x14ac:dyDescent="0.25">
      <c r="A16" s="3">
        <v>0.76</v>
      </c>
      <c r="B16" s="3">
        <v>7.01</v>
      </c>
      <c r="C16" s="3">
        <v>0.94</v>
      </c>
      <c r="D16" s="3">
        <v>20</v>
      </c>
      <c r="E16" s="3">
        <v>33.520000000000003</v>
      </c>
      <c r="G16">
        <v>1</v>
      </c>
      <c r="H16" s="3">
        <v>0.76</v>
      </c>
      <c r="I16" s="3">
        <v>7.01</v>
      </c>
      <c r="J16" s="3">
        <v>0.94</v>
      </c>
      <c r="K16" s="3">
        <v>20</v>
      </c>
      <c r="L16" s="3">
        <v>33.520000000000003</v>
      </c>
      <c r="O16">
        <v>9043.8549000000003</v>
      </c>
      <c r="R16">
        <v>2.0899758723689654E-2</v>
      </c>
      <c r="V16">
        <f t="shared" si="0"/>
        <v>34.501474834117069</v>
      </c>
      <c r="W16">
        <f t="shared" si="1"/>
        <v>0.96329285000512144</v>
      </c>
    </row>
    <row r="17" spans="1:23" x14ac:dyDescent="0.25">
      <c r="A17" s="3">
        <v>0.42</v>
      </c>
      <c r="B17" s="3">
        <v>3.1</v>
      </c>
      <c r="C17" s="3">
        <v>0.94</v>
      </c>
      <c r="D17" s="3">
        <v>20</v>
      </c>
      <c r="E17" s="3">
        <v>33.75</v>
      </c>
      <c r="G17">
        <v>1</v>
      </c>
      <c r="H17" s="3">
        <v>0.42</v>
      </c>
      <c r="I17" s="3">
        <v>3.1</v>
      </c>
      <c r="J17" s="3">
        <v>0.94</v>
      </c>
      <c r="K17" s="3">
        <v>20</v>
      </c>
      <c r="L17" s="3">
        <v>33.75</v>
      </c>
      <c r="O17">
        <v>287.65010000000001</v>
      </c>
      <c r="R17">
        <v>-2.7163370953309993</v>
      </c>
      <c r="V17">
        <f t="shared" si="0"/>
        <v>34.562469335144868</v>
      </c>
      <c r="W17">
        <f t="shared" si="1"/>
        <v>0.66010642055074453</v>
      </c>
    </row>
    <row r="18" spans="1:23" x14ac:dyDescent="0.25">
      <c r="A18" s="3">
        <v>4.25</v>
      </c>
      <c r="B18" s="3">
        <v>14.45</v>
      </c>
      <c r="C18" s="3">
        <v>0.84</v>
      </c>
      <c r="D18" s="3">
        <v>25</v>
      </c>
      <c r="E18" s="3">
        <v>42.89</v>
      </c>
      <c r="G18">
        <v>1</v>
      </c>
      <c r="H18" s="3">
        <v>4.25</v>
      </c>
      <c r="I18" s="3">
        <v>14.45</v>
      </c>
      <c r="J18" s="3">
        <v>0.84</v>
      </c>
      <c r="K18" s="3">
        <v>25</v>
      </c>
      <c r="L18" s="3">
        <v>42.89</v>
      </c>
      <c r="O18">
        <v>10039.504999999999</v>
      </c>
      <c r="R18">
        <v>1.9883934461648742</v>
      </c>
      <c r="V18">
        <f t="shared" si="0"/>
        <v>43.405667549512252</v>
      </c>
      <c r="W18">
        <f t="shared" si="1"/>
        <v>0.26591302161997021</v>
      </c>
    </row>
    <row r="19" spans="1:23" x14ac:dyDescent="0.25">
      <c r="A19" s="3">
        <v>0.76</v>
      </c>
      <c r="B19" s="3">
        <v>50.46</v>
      </c>
      <c r="C19" s="3">
        <v>0.43</v>
      </c>
      <c r="D19" s="3">
        <v>26</v>
      </c>
      <c r="E19" s="3">
        <v>48.87</v>
      </c>
      <c r="G19">
        <v>1</v>
      </c>
      <c r="H19" s="3">
        <v>0.76</v>
      </c>
      <c r="I19" s="3">
        <v>50.46</v>
      </c>
      <c r="J19" s="3">
        <v>0.43</v>
      </c>
      <c r="K19" s="3">
        <v>26</v>
      </c>
      <c r="L19" s="3">
        <v>48.87</v>
      </c>
      <c r="O19">
        <v>17814.938000000002</v>
      </c>
      <c r="V19">
        <f t="shared" si="0"/>
        <v>48.725261946269441</v>
      </c>
      <c r="W19">
        <f t="shared" si="1"/>
        <v>2.094910419770939E-2</v>
      </c>
    </row>
    <row r="20" spans="1:23" x14ac:dyDescent="0.25">
      <c r="A20" s="3">
        <v>0.76</v>
      </c>
      <c r="B20" s="3">
        <v>24.8</v>
      </c>
      <c r="C20" s="3">
        <v>0.34</v>
      </c>
      <c r="D20" s="3">
        <v>30</v>
      </c>
      <c r="E20" s="3">
        <v>58.45</v>
      </c>
      <c r="G20">
        <v>1</v>
      </c>
      <c r="H20" s="3">
        <v>0.76</v>
      </c>
      <c r="I20" s="3">
        <v>24.8</v>
      </c>
      <c r="J20" s="3">
        <v>0.34</v>
      </c>
      <c r="K20" s="3">
        <v>30</v>
      </c>
      <c r="L20" s="3">
        <v>58.45</v>
      </c>
      <c r="V20">
        <f t="shared" si="0"/>
        <v>56.387018260658849</v>
      </c>
      <c r="W20">
        <f t="shared" si="1"/>
        <v>4.2558936568550543</v>
      </c>
    </row>
    <row r="21" spans="1:23" x14ac:dyDescent="0.25">
      <c r="A21" s="3">
        <v>0.5</v>
      </c>
      <c r="B21" s="3">
        <v>11.2</v>
      </c>
      <c r="C21" s="3">
        <v>0.79</v>
      </c>
      <c r="D21" s="3">
        <v>31.5</v>
      </c>
      <c r="E21" s="3">
        <v>61.69</v>
      </c>
      <c r="G21">
        <v>1</v>
      </c>
      <c r="H21" s="3">
        <v>0.5</v>
      </c>
      <c r="I21" s="3">
        <v>11.2</v>
      </c>
      <c r="J21" s="3">
        <v>0.79</v>
      </c>
      <c r="K21" s="3">
        <v>31.5</v>
      </c>
      <c r="L21" s="3">
        <v>61.69</v>
      </c>
      <c r="V21">
        <f t="shared" si="0"/>
        <v>57.972153150676007</v>
      </c>
      <c r="W21">
        <f t="shared" si="1"/>
        <v>13.822385195028323</v>
      </c>
    </row>
    <row r="23" spans="1:23" x14ac:dyDescent="0.25">
      <c r="V23" t="s">
        <v>7</v>
      </c>
      <c r="W23">
        <f>AVERAGE(W2:W21)</f>
        <v>3.1399499954149195</v>
      </c>
    </row>
    <row r="24" spans="1:23" x14ac:dyDescent="0.25">
      <c r="V24" t="s">
        <v>8</v>
      </c>
      <c r="W24">
        <f>SQRT(W23)</f>
        <v>1.7719904050008057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1319-A285-46F3-8D2A-7142E47845A4}">
  <dimension ref="A1:T24"/>
  <sheetViews>
    <sheetView topLeftCell="K1" zoomScale="80" zoomScaleNormal="80" workbookViewId="0">
      <selection activeCell="T15" sqref="T15"/>
    </sheetView>
  </sheetViews>
  <sheetFormatPr defaultRowHeight="13.8" x14ac:dyDescent="0.25"/>
  <cols>
    <col min="19" max="19" width="14.59765625" customWidth="1"/>
    <col min="20" max="20" width="15.8984375" customWidth="1"/>
  </cols>
  <sheetData>
    <row r="1" spans="1:20" x14ac:dyDescent="0.25">
      <c r="A1" t="s">
        <v>9</v>
      </c>
      <c r="B1" t="s">
        <v>10</v>
      </c>
      <c r="C1" t="s">
        <v>11</v>
      </c>
      <c r="D1" t="s">
        <v>12</v>
      </c>
      <c r="F1" t="s">
        <v>0</v>
      </c>
      <c r="G1" t="s">
        <v>9</v>
      </c>
      <c r="H1" t="s">
        <v>10</v>
      </c>
      <c r="I1" t="s">
        <v>11</v>
      </c>
      <c r="J1" t="s">
        <v>12</v>
      </c>
      <c r="L1" t="s">
        <v>1</v>
      </c>
      <c r="M1" s="1" cm="1">
        <f t="array" ref="M1:Q5">MMULT(TRANSPOSE(F2:J21),F2:J21)</f>
        <v>20</v>
      </c>
      <c r="N1" s="1">
        <v>50.840000000000018</v>
      </c>
      <c r="O1" s="1">
        <v>435.64000000000004</v>
      </c>
      <c r="P1" s="1">
        <v>11.029999999999998</v>
      </c>
      <c r="Q1">
        <v>467.71999999999997</v>
      </c>
      <c r="S1" s="2" t="s">
        <v>2</v>
      </c>
      <c r="T1" s="1" t="s">
        <v>3</v>
      </c>
    </row>
    <row r="2" spans="1:20" x14ac:dyDescent="0.25">
      <c r="A2">
        <v>0.76</v>
      </c>
      <c r="B2">
        <v>7.01</v>
      </c>
      <c r="C2">
        <v>0.94</v>
      </c>
      <c r="D2">
        <v>33.520000000000003</v>
      </c>
      <c r="F2">
        <v>1</v>
      </c>
      <c r="G2">
        <v>0.76</v>
      </c>
      <c r="H2">
        <v>7.01</v>
      </c>
      <c r="I2">
        <v>0.94</v>
      </c>
      <c r="J2">
        <v>33.520000000000003</v>
      </c>
      <c r="M2" s="1">
        <v>50.840000000000018</v>
      </c>
      <c r="N2" s="1">
        <v>228.6694</v>
      </c>
      <c r="O2" s="1">
        <v>991.42410000000007</v>
      </c>
      <c r="P2" s="1">
        <v>26.494299999999999</v>
      </c>
      <c r="Q2">
        <v>1023.8301000000001</v>
      </c>
      <c r="S2">
        <f>$P$14+$P$15*G2+$P$16*H2+$P$17*I2</f>
        <v>35.128368193795353</v>
      </c>
      <c r="T2">
        <f>POWER(J2-S2,2)</f>
        <v>2.5868482468125165</v>
      </c>
    </row>
    <row r="3" spans="1:20" x14ac:dyDescent="0.25">
      <c r="A3">
        <v>4.25</v>
      </c>
      <c r="B3">
        <v>14.45</v>
      </c>
      <c r="C3">
        <v>0.84</v>
      </c>
      <c r="D3">
        <v>42.89</v>
      </c>
      <c r="F3">
        <v>1</v>
      </c>
      <c r="G3">
        <v>4.25</v>
      </c>
      <c r="H3">
        <v>14.45</v>
      </c>
      <c r="I3">
        <v>0.84</v>
      </c>
      <c r="J3">
        <v>42.89</v>
      </c>
      <c r="M3" s="1">
        <v>435.64000000000004</v>
      </c>
      <c r="N3" s="1">
        <v>991.42410000000007</v>
      </c>
      <c r="O3" s="1">
        <v>15643.789200000001</v>
      </c>
      <c r="P3" s="1">
        <v>222.99350000000001</v>
      </c>
      <c r="Q3">
        <v>9043.8549000000003</v>
      </c>
      <c r="S3">
        <f t="shared" ref="S3:S21" si="0">$P$14+$P$15*G3+$P$16*H3+$P$17*I3</f>
        <v>26.623780513896161</v>
      </c>
      <c r="T3">
        <f t="shared" ref="T3:T12" si="1">POWER(J3-S3,2)</f>
        <v>264.58989637010427</v>
      </c>
    </row>
    <row r="4" spans="1:20" x14ac:dyDescent="0.25">
      <c r="A4">
        <v>5.71</v>
      </c>
      <c r="B4">
        <v>42.28</v>
      </c>
      <c r="C4">
        <v>0.83</v>
      </c>
      <c r="D4">
        <v>12.04</v>
      </c>
      <c r="F4">
        <v>1</v>
      </c>
      <c r="G4">
        <v>5.71</v>
      </c>
      <c r="H4">
        <v>42.28</v>
      </c>
      <c r="I4">
        <v>0.83</v>
      </c>
      <c r="J4">
        <v>12.04</v>
      </c>
      <c r="M4" s="1">
        <v>11.029999999999998</v>
      </c>
      <c r="N4" s="1">
        <v>26.494299999999999</v>
      </c>
      <c r="O4" s="1">
        <v>222.99350000000001</v>
      </c>
      <c r="P4" s="1">
        <v>7.5643000000000002</v>
      </c>
      <c r="Q4">
        <v>287.65010000000001</v>
      </c>
      <c r="S4">
        <f t="shared" si="0"/>
        <v>19.383050772711986</v>
      </c>
      <c r="T4">
        <f t="shared" si="1"/>
        <v>53.920394650626108</v>
      </c>
    </row>
    <row r="5" spans="1:20" x14ac:dyDescent="0.25">
      <c r="A5">
        <v>3.58</v>
      </c>
      <c r="B5">
        <v>11.13</v>
      </c>
      <c r="C5">
        <v>0.24</v>
      </c>
      <c r="D5">
        <v>6.91</v>
      </c>
      <c r="F5">
        <v>1</v>
      </c>
      <c r="G5">
        <v>3.58</v>
      </c>
      <c r="H5">
        <v>11.13</v>
      </c>
      <c r="I5">
        <v>0.24</v>
      </c>
      <c r="J5">
        <v>6.91</v>
      </c>
      <c r="M5">
        <v>467.71999999999997</v>
      </c>
      <c r="N5">
        <v>1023.8301000000001</v>
      </c>
      <c r="O5">
        <v>9043.8549000000003</v>
      </c>
      <c r="P5">
        <v>287.65010000000001</v>
      </c>
      <c r="Q5">
        <v>17814.937999999998</v>
      </c>
      <c r="S5">
        <f t="shared" si="0"/>
        <v>18.424979688737992</v>
      </c>
      <c r="T5">
        <f t="shared" si="1"/>
        <v>132.59475723204849</v>
      </c>
    </row>
    <row r="6" spans="1:20" x14ac:dyDescent="0.25">
      <c r="A6">
        <v>0.45</v>
      </c>
      <c r="B6">
        <v>3</v>
      </c>
      <c r="C6">
        <v>0.48</v>
      </c>
      <c r="D6">
        <v>6.57</v>
      </c>
      <c r="F6">
        <v>1</v>
      </c>
      <c r="G6">
        <v>0.45</v>
      </c>
      <c r="H6">
        <v>3</v>
      </c>
      <c r="I6">
        <v>0.48</v>
      </c>
      <c r="J6">
        <v>6.57</v>
      </c>
      <c r="S6">
        <f t="shared" si="0"/>
        <v>28.765037999149943</v>
      </c>
      <c r="T6">
        <f t="shared" si="1"/>
        <v>492.61971178370987</v>
      </c>
    </row>
    <row r="7" spans="1:20" x14ac:dyDescent="0.25">
      <c r="A7">
        <v>0.13</v>
      </c>
      <c r="B7">
        <v>63.46</v>
      </c>
      <c r="C7">
        <v>0.18</v>
      </c>
      <c r="D7">
        <v>2.0699999999999998</v>
      </c>
      <c r="F7">
        <v>1</v>
      </c>
      <c r="G7">
        <v>0.13</v>
      </c>
      <c r="H7">
        <v>63.46</v>
      </c>
      <c r="I7">
        <v>0.18</v>
      </c>
      <c r="J7">
        <v>2.0699999999999998</v>
      </c>
      <c r="S7">
        <f t="shared" si="0"/>
        <v>14.073769025806541</v>
      </c>
      <c r="T7">
        <f t="shared" si="1"/>
        <v>144.09047082491253</v>
      </c>
    </row>
    <row r="8" spans="1:20" x14ac:dyDescent="0.25">
      <c r="A8">
        <v>1</v>
      </c>
      <c r="B8">
        <v>48.25</v>
      </c>
      <c r="C8">
        <v>0.35</v>
      </c>
      <c r="D8">
        <v>4.18</v>
      </c>
      <c r="F8">
        <v>1</v>
      </c>
      <c r="G8">
        <v>1</v>
      </c>
      <c r="H8">
        <v>48.25</v>
      </c>
      <c r="I8">
        <v>0.35</v>
      </c>
      <c r="J8">
        <v>4.18</v>
      </c>
      <c r="L8" t="s">
        <v>4</v>
      </c>
      <c r="M8" cm="1">
        <f t="array" ref="M8:P11">MINVERSE(M1:P4)</f>
        <v>0.53744317176876155</v>
      </c>
      <c r="N8">
        <v>-3.9569552520799127E-2</v>
      </c>
      <c r="O8">
        <v>-5.6285940092465183E-3</v>
      </c>
      <c r="P8">
        <v>-0.47915745158927026</v>
      </c>
      <c r="S8">
        <f t="shared" si="0"/>
        <v>18.053081476286145</v>
      </c>
      <c r="T8">
        <f t="shared" si="1"/>
        <v>192.46238964767377</v>
      </c>
    </row>
    <row r="9" spans="1:20" x14ac:dyDescent="0.25">
      <c r="A9">
        <v>0.76</v>
      </c>
      <c r="B9">
        <v>24.8</v>
      </c>
      <c r="C9">
        <v>0.34</v>
      </c>
      <c r="D9">
        <v>58.45</v>
      </c>
      <c r="F9">
        <v>1</v>
      </c>
      <c r="G9">
        <v>0.76</v>
      </c>
      <c r="H9">
        <v>24.8</v>
      </c>
      <c r="I9">
        <v>0.34</v>
      </c>
      <c r="J9">
        <v>58.45</v>
      </c>
      <c r="M9">
        <v>-3.9569552520799148E-2</v>
      </c>
      <c r="N9">
        <v>1.0547374926949125E-2</v>
      </c>
      <c r="O9">
        <v>2.373361311408064E-4</v>
      </c>
      <c r="P9">
        <v>1.3759691474134927E-2</v>
      </c>
      <c r="S9">
        <f t="shared" si="0"/>
        <v>22.263443002407584</v>
      </c>
      <c r="T9">
        <f t="shared" si="1"/>
        <v>1309.4669073400048</v>
      </c>
    </row>
    <row r="10" spans="1:20" x14ac:dyDescent="0.25">
      <c r="A10">
        <v>7.56</v>
      </c>
      <c r="B10">
        <v>13.85</v>
      </c>
      <c r="C10">
        <v>0.55000000000000004</v>
      </c>
      <c r="D10">
        <v>29.64</v>
      </c>
      <c r="F10">
        <v>1</v>
      </c>
      <c r="G10">
        <v>7.56</v>
      </c>
      <c r="H10">
        <v>13.85</v>
      </c>
      <c r="I10">
        <v>0.55000000000000004</v>
      </c>
      <c r="J10">
        <v>29.64</v>
      </c>
      <c r="M10">
        <v>-5.6285940092465157E-3</v>
      </c>
      <c r="N10">
        <v>2.3733613114080621E-4</v>
      </c>
      <c r="O10">
        <v>1.733085255858903E-4</v>
      </c>
      <c r="P10">
        <v>2.2670521479142762E-3</v>
      </c>
      <c r="S10">
        <f t="shared" si="0"/>
        <v>16.660205844107288</v>
      </c>
      <c r="T10">
        <f t="shared" si="1"/>
        <v>168.47505632934661</v>
      </c>
    </row>
    <row r="11" spans="1:20" x14ac:dyDescent="0.25">
      <c r="A11">
        <v>0.76</v>
      </c>
      <c r="B11">
        <v>50.46</v>
      </c>
      <c r="C11">
        <v>0.43</v>
      </c>
      <c r="D11">
        <v>48.87</v>
      </c>
      <c r="F11">
        <v>1</v>
      </c>
      <c r="G11">
        <v>0.76</v>
      </c>
      <c r="H11">
        <v>50.46</v>
      </c>
      <c r="I11">
        <v>0.43</v>
      </c>
      <c r="J11">
        <v>48.87</v>
      </c>
      <c r="M11">
        <v>-0.47915745158927031</v>
      </c>
      <c r="N11">
        <v>1.3759691474134913E-2</v>
      </c>
      <c r="O11">
        <v>2.2670521479142788E-3</v>
      </c>
      <c r="P11">
        <v>0.71586470711904004</v>
      </c>
      <c r="S11">
        <f t="shared" si="0"/>
        <v>19.373960597828784</v>
      </c>
      <c r="T11">
        <f t="shared" si="1"/>
        <v>870.01634041443674</v>
      </c>
    </row>
    <row r="12" spans="1:20" x14ac:dyDescent="0.25">
      <c r="A12">
        <v>0.42</v>
      </c>
      <c r="B12">
        <v>3.1</v>
      </c>
      <c r="C12">
        <v>0.94</v>
      </c>
      <c r="D12">
        <v>33.75</v>
      </c>
      <c r="F12">
        <v>1</v>
      </c>
      <c r="G12">
        <v>0.42</v>
      </c>
      <c r="H12">
        <v>3.1</v>
      </c>
      <c r="I12">
        <v>0.94</v>
      </c>
      <c r="J12">
        <v>33.75</v>
      </c>
      <c r="S12">
        <f t="shared" si="0"/>
        <v>36.339010132621425</v>
      </c>
      <c r="T12">
        <f t="shared" si="1"/>
        <v>6.7029734668164087</v>
      </c>
    </row>
    <row r="13" spans="1:20" x14ac:dyDescent="0.25">
      <c r="A13">
        <v>2.93</v>
      </c>
      <c r="B13">
        <v>11.21</v>
      </c>
      <c r="C13">
        <v>0.53</v>
      </c>
      <c r="D13">
        <v>0.04</v>
      </c>
      <c r="F13">
        <v>1</v>
      </c>
      <c r="G13">
        <v>2.93</v>
      </c>
      <c r="H13">
        <v>11.21</v>
      </c>
      <c r="I13">
        <v>0.53</v>
      </c>
      <c r="J13">
        <v>0.04</v>
      </c>
      <c r="S13">
        <f t="shared" si="0"/>
        <v>24.20946922474123</v>
      </c>
      <c r="T13">
        <f t="shared" ref="T13:T20" si="2">POWER(J13-S13,2)</f>
        <v>584.16324260571355</v>
      </c>
    </row>
    <row r="14" spans="1:20" x14ac:dyDescent="0.25">
      <c r="A14">
        <v>5.64</v>
      </c>
      <c r="B14">
        <v>18.11</v>
      </c>
      <c r="C14">
        <v>0.09</v>
      </c>
      <c r="D14">
        <v>16.75</v>
      </c>
      <c r="F14">
        <v>1</v>
      </c>
      <c r="G14">
        <v>5.64</v>
      </c>
      <c r="H14">
        <v>18.11</v>
      </c>
      <c r="I14">
        <v>0.09</v>
      </c>
      <c r="J14">
        <v>16.75</v>
      </c>
      <c r="L14" t="s">
        <v>5</v>
      </c>
      <c r="M14" cm="1">
        <f t="array" ref="M14:M18">MMULT(TRANSPOSE(F2:J21),J2:J21)</f>
        <v>467.71999999999997</v>
      </c>
      <c r="O14" t="s">
        <v>6</v>
      </c>
      <c r="P14" cm="1">
        <f t="array" ref="P14:P17">MMULT(M8:P11,M14:M17)</f>
        <v>22.126545009326577</v>
      </c>
      <c r="S14">
        <f t="shared" si="0"/>
        <v>11.472979071604737</v>
      </c>
      <c r="T14">
        <f t="shared" si="2"/>
        <v>27.846949878721606</v>
      </c>
    </row>
    <row r="15" spans="1:20" x14ac:dyDescent="0.25">
      <c r="A15">
        <v>3.93</v>
      </c>
      <c r="B15">
        <v>21.56</v>
      </c>
      <c r="C15">
        <v>0.43</v>
      </c>
      <c r="D15">
        <v>4.63</v>
      </c>
      <c r="F15">
        <v>1</v>
      </c>
      <c r="G15">
        <v>3.93</v>
      </c>
      <c r="H15">
        <v>21.56</v>
      </c>
      <c r="I15">
        <v>0.43</v>
      </c>
      <c r="J15">
        <v>4.63</v>
      </c>
      <c r="M15">
        <v>1023.8301000000001</v>
      </c>
      <c r="P15">
        <v>-1.6043410177634763</v>
      </c>
      <c r="S15">
        <f t="shared" si="0"/>
        <v>19.204643866027389</v>
      </c>
      <c r="T15">
        <f t="shared" si="2"/>
        <v>212.42024382152982</v>
      </c>
    </row>
    <row r="16" spans="1:20" x14ac:dyDescent="0.25">
      <c r="A16">
        <v>0.5</v>
      </c>
      <c r="B16">
        <v>11.2</v>
      </c>
      <c r="C16">
        <v>0.79</v>
      </c>
      <c r="D16">
        <v>61.69</v>
      </c>
      <c r="F16">
        <v>1</v>
      </c>
      <c r="G16">
        <v>0.5</v>
      </c>
      <c r="H16">
        <v>11.2</v>
      </c>
      <c r="I16">
        <v>0.79</v>
      </c>
      <c r="J16">
        <v>61.69</v>
      </c>
      <c r="M16">
        <v>9043.8549000000003</v>
      </c>
      <c r="P16">
        <v>-0.17011917974078983</v>
      </c>
      <c r="S16">
        <f t="shared" si="0"/>
        <v>32.373071249350176</v>
      </c>
      <c r="T16">
        <f t="shared" si="2"/>
        <v>859.48231137067819</v>
      </c>
    </row>
    <row r="17" spans="1:20" x14ac:dyDescent="0.25">
      <c r="A17">
        <v>0.2</v>
      </c>
      <c r="B17">
        <v>7.62</v>
      </c>
      <c r="C17">
        <v>0.33</v>
      </c>
      <c r="D17">
        <v>24.55</v>
      </c>
      <c r="F17">
        <v>1</v>
      </c>
      <c r="G17">
        <v>0.2</v>
      </c>
      <c r="H17">
        <v>7.62</v>
      </c>
      <c r="I17">
        <v>0.33</v>
      </c>
      <c r="J17">
        <v>24.55</v>
      </c>
      <c r="M17">
        <v>287.65010000000001</v>
      </c>
      <c r="P17">
        <v>16.397508306331872</v>
      </c>
      <c r="S17">
        <f t="shared" si="0"/>
        <v>25.920546397238581</v>
      </c>
      <c r="T17">
        <f t="shared" si="2"/>
        <v>1.8783974269836536</v>
      </c>
    </row>
    <row r="18" spans="1:20" x14ac:dyDescent="0.25">
      <c r="A18">
        <v>1.0900000000000001</v>
      </c>
      <c r="B18">
        <v>22.54</v>
      </c>
      <c r="C18">
        <v>0.94</v>
      </c>
      <c r="D18">
        <v>32.9</v>
      </c>
      <c r="F18">
        <v>1</v>
      </c>
      <c r="G18">
        <v>1.0900000000000001</v>
      </c>
      <c r="H18">
        <v>22.54</v>
      </c>
      <c r="I18">
        <v>0.94</v>
      </c>
      <c r="J18">
        <v>32.9</v>
      </c>
      <c r="M18">
        <v>17814.937999999998</v>
      </c>
      <c r="S18">
        <f t="shared" si="0"/>
        <v>31.956984796558942</v>
      </c>
      <c r="T18">
        <f t="shared" si="2"/>
        <v>0.88927767392097778</v>
      </c>
    </row>
    <row r="19" spans="1:20" x14ac:dyDescent="0.25">
      <c r="A19">
        <v>1.95</v>
      </c>
      <c r="B19">
        <v>44.38</v>
      </c>
      <c r="C19">
        <v>0.9</v>
      </c>
      <c r="D19">
        <v>9.23</v>
      </c>
      <c r="F19">
        <v>1</v>
      </c>
      <c r="G19">
        <v>1.95</v>
      </c>
      <c r="H19">
        <v>44.38</v>
      </c>
      <c r="I19">
        <v>0.9</v>
      </c>
      <c r="J19">
        <v>9.23</v>
      </c>
      <c r="S19">
        <f t="shared" si="0"/>
        <v>26.205948303490231</v>
      </c>
      <c r="T19">
        <f t="shared" si="2"/>
        <v>288.18282080277282</v>
      </c>
    </row>
    <row r="20" spans="1:20" x14ac:dyDescent="0.25">
      <c r="A20">
        <v>3.81</v>
      </c>
      <c r="B20">
        <v>5.5</v>
      </c>
      <c r="C20">
        <v>0.61</v>
      </c>
      <c r="D20">
        <v>11.4</v>
      </c>
      <c r="F20">
        <v>1</v>
      </c>
      <c r="G20">
        <v>3.81</v>
      </c>
      <c r="H20">
        <v>5.5</v>
      </c>
      <c r="I20">
        <v>0.61</v>
      </c>
      <c r="J20">
        <v>11.4</v>
      </c>
      <c r="S20">
        <f t="shared" si="0"/>
        <v>25.080830309935827</v>
      </c>
      <c r="T20">
        <f t="shared" si="2"/>
        <v>187.1651179692588</v>
      </c>
    </row>
    <row r="21" spans="1:20" x14ac:dyDescent="0.25">
      <c r="A21">
        <v>5.41</v>
      </c>
      <c r="B21">
        <v>11.73</v>
      </c>
      <c r="C21">
        <v>0.28999999999999998</v>
      </c>
      <c r="D21">
        <v>27.64</v>
      </c>
      <c r="F21">
        <v>1</v>
      </c>
      <c r="G21">
        <v>5.41</v>
      </c>
      <c r="H21">
        <v>11.73</v>
      </c>
      <c r="I21">
        <v>0.28999999999999998</v>
      </c>
      <c r="J21">
        <v>27.64</v>
      </c>
      <c r="S21">
        <f t="shared" si="0"/>
        <v>16.206839533702947</v>
      </c>
      <c r="T21">
        <f t="shared" ref="T21" si="3">POWER(J21-S21,2)</f>
        <v>130.71715824809786</v>
      </c>
    </row>
    <row r="23" spans="1:20" x14ac:dyDescent="0.25">
      <c r="S23" t="s">
        <v>7</v>
      </c>
      <c r="T23">
        <f>AVERAGE(T2:T21)</f>
        <v>296.51356330520844</v>
      </c>
    </row>
    <row r="24" spans="1:20" x14ac:dyDescent="0.25">
      <c r="S24" t="s">
        <v>8</v>
      </c>
      <c r="T24">
        <f>SQRT(T23)</f>
        <v>17.219569196272257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Office</vt:lpstr>
      <vt:lpstr>Bài làm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NHAT BAN</dc:creator>
  <cp:lastModifiedBy>Bản Đỗ Nhật</cp:lastModifiedBy>
  <dcterms:created xsi:type="dcterms:W3CDTF">2025-07-21T09:59:32Z</dcterms:created>
  <dcterms:modified xsi:type="dcterms:W3CDTF">2025-10-22T03:22:29Z</dcterms:modified>
</cp:coreProperties>
</file>